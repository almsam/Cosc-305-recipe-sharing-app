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499" documentId="11_0B1D56BE9CDCCE836B02CE7A5FB0D4A9BBFD1C62" xr6:coauthVersionLast="47" xr6:coauthVersionMax="47" xr10:uidLastSave="{33748622-4263-49D0-904B-07F00738FF39}"/>
  <bookViews>
    <workbookView xWindow="240" yWindow="105" windowWidth="14805" windowHeight="8010" xr2:uid="{00000000-000D-0000-FFFF-FFFF00000000}"/>
  </bookViews>
  <sheets>
    <sheet name="Q1" sheetId="1" r:id="rId1"/>
    <sheet name="Q2" sheetId="2" r:id="rId2"/>
    <sheet name="Q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/>
  <c r="C29" i="3" a="1"/>
  <c r="C29" i="3"/>
  <c r="C30" i="3" a="1"/>
  <c r="C30" i="3"/>
  <c r="C31" i="3" a="1"/>
  <c r="C31" i="3"/>
  <c r="C32" i="3" a="1"/>
  <c r="C32" i="3"/>
  <c r="C33" i="3" a="1"/>
  <c r="C33" i="3"/>
  <c r="C34" i="3" a="1"/>
  <c r="C34" i="3"/>
  <c r="C35" i="3" a="1"/>
  <c r="C35" i="3"/>
  <c r="C36" i="3" a="1"/>
  <c r="C36" i="3"/>
  <c r="C37" i="3" a="1"/>
  <c r="C37" i="3"/>
  <c r="C38" i="3" a="1"/>
  <c r="C38" i="3"/>
  <c r="C39" i="3" a="1"/>
  <c r="C39" i="3"/>
  <c r="C40" i="3" a="1"/>
  <c r="C40" i="3"/>
  <c r="C41" i="3" a="1"/>
  <c r="C41" i="3"/>
  <c r="C42" i="3" a="1"/>
  <c r="C42" i="3"/>
  <c r="B28" i="3" a="1"/>
  <c r="B28" i="3"/>
  <c r="B29" i="3" a="1"/>
  <c r="B29" i="3"/>
  <c r="B30" i="3" a="1"/>
  <c r="B30" i="3"/>
  <c r="B31" i="3" a="1"/>
  <c r="B31" i="3"/>
  <c r="B32" i="3" a="1"/>
  <c r="B32" i="3"/>
  <c r="B33" i="3" a="1"/>
  <c r="B33" i="3"/>
  <c r="B34" i="3" a="1"/>
  <c r="B34" i="3"/>
  <c r="B35" i="3" a="1"/>
  <c r="B35" i="3"/>
  <c r="B36" i="3" a="1"/>
  <c r="B36" i="3"/>
  <c r="B37" i="3" a="1"/>
  <c r="B37" i="3"/>
  <c r="B38" i="3" a="1"/>
  <c r="B38" i="3"/>
  <c r="B39" i="3" a="1"/>
  <c r="B39" i="3"/>
  <c r="B40" i="3" a="1"/>
  <c r="B40" i="3"/>
  <c r="B41" i="3" a="1"/>
  <c r="B41" i="3"/>
  <c r="B42" i="3" a="1"/>
  <c r="B42" i="3"/>
  <c r="C27" i="3" a="1"/>
  <c r="C27" i="3"/>
  <c r="B27" i="3" a="1"/>
  <c r="B27" i="3"/>
  <c r="C21" i="3"/>
  <c r="B21" i="3"/>
  <c r="I6" i="3"/>
  <c r="I7" i="3"/>
  <c r="I8" i="3"/>
  <c r="I9" i="3"/>
  <c r="I10" i="3"/>
  <c r="I11" i="3"/>
  <c r="I12" i="3"/>
  <c r="I13" i="3"/>
  <c r="I5" i="3"/>
  <c r="E6" i="3"/>
  <c r="E7" i="3"/>
  <c r="E8" i="3"/>
  <c r="E9" i="3"/>
  <c r="E10" i="3"/>
  <c r="E11" i="3"/>
  <c r="E12" i="3"/>
  <c r="E13" i="3"/>
  <c r="E5" i="3"/>
  <c r="O34" i="2"/>
  <c r="I34" i="2"/>
  <c r="C34" i="2"/>
  <c r="O19" i="2"/>
  <c r="O20" i="2" s="1"/>
  <c r="O21" i="2" s="1"/>
  <c r="O22" i="2" s="1"/>
  <c r="O23" i="2" s="1"/>
  <c r="O24" i="2" s="1"/>
  <c r="I19" i="2"/>
  <c r="I20" i="2" s="1"/>
  <c r="I21" i="2" s="1"/>
  <c r="I22" i="2" s="1"/>
  <c r="I23" i="2" s="1"/>
  <c r="I24" i="2" s="1"/>
  <c r="C19" i="2"/>
  <c r="C20" i="2" s="1"/>
  <c r="C21" i="2" s="1"/>
  <c r="C22" i="2" s="1"/>
  <c r="C23" i="2" s="1"/>
  <c r="C24" i="2" s="1"/>
  <c r="P13" i="2"/>
  <c r="Q13" i="2" s="1"/>
  <c r="P12" i="2"/>
  <c r="Q12" i="2" s="1"/>
  <c r="P11" i="2"/>
  <c r="Q11" i="2" s="1"/>
  <c r="P10" i="2"/>
  <c r="Q10" i="2" s="1"/>
  <c r="P9" i="2"/>
  <c r="Q9" i="2" s="1"/>
  <c r="P8" i="2"/>
  <c r="Q8" i="2" s="1"/>
  <c r="R8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L8" i="2" s="1"/>
  <c r="D10" i="2"/>
  <c r="E10" i="2" s="1"/>
  <c r="D11" i="2"/>
  <c r="E11" i="2" s="1"/>
  <c r="D12" i="2"/>
  <c r="E12" i="2" s="1"/>
  <c r="D13" i="2"/>
  <c r="E13" i="2" s="1"/>
  <c r="D9" i="2"/>
  <c r="E9" i="2" s="1"/>
  <c r="D8" i="2"/>
  <c r="E8" i="2" s="1"/>
  <c r="F8" i="2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8" i="1"/>
  <c r="E8" i="1"/>
  <c r="D10" i="1"/>
  <c r="E10" i="1" s="1"/>
  <c r="D11" i="1"/>
  <c r="E11" i="1" s="1"/>
  <c r="D9" i="1"/>
  <c r="E9" i="1" s="1"/>
  <c r="F4" i="1" s="1"/>
  <c r="K5" i="3" l="1"/>
  <c r="J5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G5" i="3"/>
  <c r="F5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F9" i="2"/>
  <c r="F10" i="2"/>
  <c r="F11" i="2" s="1"/>
  <c r="F12" i="2" s="1"/>
  <c r="F13" i="2" s="1"/>
  <c r="C15" i="2" s="1"/>
  <c r="R9" i="2"/>
  <c r="R10" i="2"/>
  <c r="R11" i="2"/>
  <c r="R12" i="2"/>
  <c r="R13" i="2"/>
  <c r="O15" i="2" s="1"/>
  <c r="L9" i="2"/>
  <c r="L10" i="2"/>
  <c r="L11" i="2"/>
  <c r="L12" i="2"/>
  <c r="L13" i="2"/>
  <c r="I15" i="2" s="1"/>
  <c r="H4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J16" i="3" l="1"/>
  <c r="K16" i="3"/>
  <c r="F16" i="3"/>
  <c r="G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<sst xmlns="http://schemas.openxmlformats.org/spreadsheetml/2006/main" count="103" uniqueCount="70">
  <si>
    <t>Q1:</t>
  </si>
  <si>
    <t xml:space="preserve"> Total PV of inflows =</t>
  </si>
  <si>
    <t xml:space="preserve">sum t = 1:42 PV_t </t>
  </si>
  <si>
    <t>NPV =</t>
  </si>
  <si>
    <t>Total PV of inflows - 80,000 = sum E9:E50 - 80,000 =</t>
  </si>
  <si>
    <t>-80000 =</t>
  </si>
  <si>
    <t>//3.5*12 = 42 months</t>
  </si>
  <si>
    <t>//12% / 12 = 1% = 0.01</t>
  </si>
  <si>
    <t>Month (t)</t>
  </si>
  <si>
    <t>Cash flow ($)</t>
  </si>
  <si>
    <t>PV factor = 1/(1+0.01)^t</t>
  </si>
  <si>
    <t>Discounted Cash Flow = Cash Flow * PV Factor</t>
  </si>
  <si>
    <t>Cumulative PV</t>
  </si>
  <si>
    <t>Q2:</t>
  </si>
  <si>
    <t>Project A</t>
  </si>
  <si>
    <t>Project B</t>
  </si>
  <si>
    <t>Project C</t>
  </si>
  <si>
    <t>year</t>
  </si>
  <si>
    <t>PV factor</t>
  </si>
  <si>
    <t>Q2A</t>
  </si>
  <si>
    <t>NPV A =</t>
  </si>
  <si>
    <t>NPV B =</t>
  </si>
  <si>
    <t>NPV C =</t>
  </si>
  <si>
    <t>-- recovery in 4 years</t>
  </si>
  <si>
    <t>payback =</t>
  </si>
  <si>
    <t>30,000/45,000 =</t>
  </si>
  <si>
    <t>2 / 3 = 8 months</t>
  </si>
  <si>
    <t>27,000/41,000 =</t>
  </si>
  <si>
    <t>6/10 = 0.6</t>
  </si>
  <si>
    <t>34,000/50,000 =</t>
  </si>
  <si>
    <t>0.68 years</t>
  </si>
  <si>
    <t>Q2B</t>
  </si>
  <si>
    <t>3 years 8 months</t>
  </si>
  <si>
    <t>3.6 years</t>
  </si>
  <si>
    <t>3.68 years</t>
  </si>
  <si>
    <t>IRR =</t>
  </si>
  <si>
    <t>sum (CF_t / (1+r)^t) = 0</t>
  </si>
  <si>
    <t>Q2C</t>
  </si>
  <si>
    <t>Q2D</t>
  </si>
  <si>
    <t>I would select Project B because it has the highest NPV (&amp; also the highest IRR)</t>
  </si>
  <si>
    <t>B adds the most value in present-value terms</t>
  </si>
  <si>
    <t>Q3:</t>
  </si>
  <si>
    <t>Q3A:</t>
  </si>
  <si>
    <t>4% NPV</t>
  </si>
  <si>
    <t>Q3B:</t>
  </si>
  <si>
    <t>10% NPV</t>
  </si>
  <si>
    <t>Year</t>
  </si>
  <si>
    <t>Q3A - 4%</t>
  </si>
  <si>
    <t>Q3A proj A</t>
  </si>
  <si>
    <t>Q3A proj B</t>
  </si>
  <si>
    <t>Q3B - 10%</t>
  </si>
  <si>
    <t>Q3B proj A</t>
  </si>
  <si>
    <t>Q3Bproj B</t>
  </si>
  <si>
    <t>&gt;</t>
  </si>
  <si>
    <t>&lt;</t>
  </si>
  <si>
    <t>I choose A for 4%</t>
  </si>
  <si>
    <t>I choose B for 10%</t>
  </si>
  <si>
    <t>Q3C:</t>
  </si>
  <si>
    <t>IRR:</t>
  </si>
  <si>
    <t>IRR proj A</t>
  </si>
  <si>
    <t>IRR proj B:</t>
  </si>
  <si>
    <t>Q3D:</t>
  </si>
  <si>
    <t>rate</t>
  </si>
  <si>
    <t>NPV A</t>
  </si>
  <si>
    <t>NPV B</t>
  </si>
  <si>
    <t>Q3E:</t>
  </si>
  <si>
    <t>crossover point is at 5.17%</t>
  </si>
  <si>
    <t>If discount rate &lt; 5.17% - Project A preferred (NPV A &gt; NPV B)</t>
  </si>
  <si>
    <t>If discount rate &gt; 5.17% - Project B preferred (NPV B &gt; NPV A)</t>
  </si>
  <si>
    <t>Or if discount eate is over ~18.6% - then neither project is worth doing as both are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</si>
</sst>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8"/>
      <color rgb="FF000000"/>
      <name val="Aptos Narrow"/>
      <charset val="1"/>
    </font>
    <font>
      <sz val="8"/>
      <color theme="1"/>
      <name val="Aptos Narrow"/>
      <family val="2"/>
      <scheme val="minor"/>
    </font>
    <font>
      <b/>
      <sz val="26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rgb="FF000000"/>
      <name val="Aptos Narrow"/>
      <charset val="1"/>
    </font>
    <font>
      <b/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0" fillId="0" borderId="0" xfId="0" applyBorder="1"/>
    <xf numFmtId="2" fontId="1" fillId="0" borderId="0" xfId="0" applyNumberFormat="1" applyFont="1" applyBorder="1"/>
    <xf numFmtId="0" fontId="1" fillId="0" borderId="0" xfId="0" applyFont="1" applyBorder="1"/>
    <xf numFmtId="0" fontId="0" fillId="0" borderId="0" xfId="0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170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'Q3'!$B$26</c:f>
              <c:strCache>
                <c:ptCount val="1"/>
                <c:pt idx="0">
                  <c:v>NPV A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'Q3'!$A$27:$A$42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xVal>
          <c:yVal>
            <c:numRef>
              <c:f>'Q3'!$B$27:$B$42</c:f>
              <c:numCache>
                <c:formatCode>General</c:formatCode>
                <c:ptCount val="16"/>
                <c:pt idx="0">
                  <c:v>657</c:v>
                </c:pt>
                <c:pt idx="1">
                  <c:v>524.05707241260995</c:v>
                </c:pt>
                <c:pt idx="2">
                  <c:v>407.39512883623348</c:v>
                </c:pt>
                <c:pt idx="3">
                  <c:v>304.61913955240095</c:v>
                </c:pt>
                <c:pt idx="4">
                  <c:v>213.73519615246732</c:v>
                </c:pt>
                <c:pt idx="5">
                  <c:v>133.07614867144196</c:v>
                </c:pt>
                <c:pt idx="6">
                  <c:v>61.242239082003209</c:v>
                </c:pt>
                <c:pt idx="7">
                  <c:v>-2.9465194609869343</c:v>
                </c:pt>
                <c:pt idx="8">
                  <c:v>-60.488717549249031</c:v>
                </c:pt>
                <c:pt idx="9">
                  <c:v>-112.23261130131385</c:v>
                </c:pt>
                <c:pt idx="10">
                  <c:v>-158.90137269471103</c:v>
                </c:pt>
                <c:pt idx="11">
                  <c:v>-201.11370097628827</c:v>
                </c:pt>
                <c:pt idx="12">
                  <c:v>-239.40071497631101</c:v>
                </c:pt>
                <c:pt idx="13">
                  <c:v>-274.21985120324678</c:v>
                </c:pt>
                <c:pt idx="14">
                  <c:v>-305.96634148438898</c:v>
                </c:pt>
                <c:pt idx="15">
                  <c:v>-334.98272624576072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D-4EC2-9BF7-46A61A1839FA}"/>
            </c:ext>
          </c:extLst>
        </c:ser>
        <c:ser>
          <c:idx val="1"/>
          <c:order val="1"/>
          <c:tx>
            <c:strRef>
              <c:f>'Q3'!$C$26</c:f>
              <c:strCache>
                <c:ptCount val="1"/>
                <c:pt idx="0">
                  <c:v>NPV B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'Q3'!$A$27:$A$42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xVal>
          <c:yVal>
            <c:numRef>
              <c:f>'Q3'!$C$27:$C$42</c:f>
              <c:numCache>
                <c:formatCode>General</c:formatCode>
                <c:ptCount val="16"/>
                <c:pt idx="0">
                  <c:v>560</c:v>
                </c:pt>
                <c:pt idx="1">
                  <c:v>469.47596186298546</c:v>
                </c:pt>
                <c:pt idx="2">
                  <c:v>388.8647154282354</c:v>
                </c:pt>
                <c:pt idx="3">
                  <c:v>316.8009171984931</c:v>
                </c:pt>
                <c:pt idx="4">
                  <c:v>252.13883514676451</c:v>
                </c:pt>
                <c:pt idx="5">
                  <c:v>193.91267306531589</c:v>
                </c:pt>
                <c:pt idx="6">
                  <c:v>141.30476047186369</c:v>
                </c:pt>
                <c:pt idx="7">
                  <c:v>93.619922952986684</c:v>
                </c:pt>
                <c:pt idx="8">
                  <c:v>50.264733792544789</c:v>
                </c:pt>
                <c:pt idx="9">
                  <c:v>10.730639942529557</c:v>
                </c:pt>
                <c:pt idx="10">
                  <c:v>-25.419822149824707</c:v>
                </c:pt>
                <c:pt idx="11">
                  <c:v>-58.564335082254253</c:v>
                </c:pt>
                <c:pt idx="12">
                  <c:v>-89.030116638191089</c:v>
                </c:pt>
                <c:pt idx="13">
                  <c:v>-117.10162547950671</c:v>
                </c:pt>
                <c:pt idx="14">
                  <c:v>-143.0269596521066</c:v>
                </c:pt>
                <c:pt idx="15">
                  <c:v>-167.02318973959558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3D-4EC2-9BF7-46A61A183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355079"/>
        <c:axId val="916357127"/>
      </c:scatterChart>
      <c:valAx>
        <c:axId val="916355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57127"/>
        <c:crosses val="autoZero"/>
        <c:crossBetween val="midCat"/>
      </c:valAx>
      <c:valAx>
        <c:axId val="91635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55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25</xdr:row>
      <xdr:rowOff>57150</xdr:rowOff>
    </xdr:from>
    <xdr:to>
      <xdr:col>9</xdr:col>
      <xdr:colOff>485775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D22DE-3A95-CD84-9179-0DC9B5A03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0"/>
  <sheetViews>
    <sheetView tabSelected="1" workbookViewId="0">
      <selection activeCell="L20" sqref="L20"/>
    </sheetView>
  </sheetViews>
  <sheetFormatPr defaultRowHeight="15"/>
  <cols>
    <col min="2" max="2" width="9.140625" customWidth="1"/>
    <col min="3" max="3" width="12.140625" bestFit="1" customWidth="1"/>
    <col min="4" max="4" width="21.28515625" bestFit="1" customWidth="1"/>
    <col min="5" max="5" width="45.42578125" customWidth="1"/>
    <col min="6" max="6" width="16.140625" bestFit="1" customWidth="1"/>
  </cols>
  <sheetData>
    <row r="2" spans="2:9" ht="34.5">
      <c r="C2" s="6" t="s">
        <v>0</v>
      </c>
    </row>
    <row r="3" spans="2:9">
      <c r="D3" s="2" t="s">
        <v>1</v>
      </c>
      <c r="E3" t="s">
        <v>2</v>
      </c>
      <c r="H3" s="1"/>
      <c r="I3" s="1"/>
    </row>
    <row r="4" spans="2:9">
      <c r="D4" t="s">
        <v>3</v>
      </c>
      <c r="E4" t="s">
        <v>4</v>
      </c>
      <c r="F4">
        <f>SUM(E9:E50)</f>
        <v>222027.70291218013</v>
      </c>
      <c r="G4" s="5" t="s">
        <v>5</v>
      </c>
      <c r="H4" s="43">
        <f>SUM(E8:E50)</f>
        <v>142027.70291218019</v>
      </c>
      <c r="I4" s="1"/>
    </row>
    <row r="5" spans="2:9">
      <c r="H5" s="1"/>
      <c r="I5" s="1"/>
    </row>
    <row r="6" spans="2:9">
      <c r="B6" s="3" t="s">
        <v>6</v>
      </c>
      <c r="C6" s="4"/>
      <c r="D6" s="4" t="s">
        <v>7</v>
      </c>
      <c r="E6" s="4"/>
      <c r="H6" s="1"/>
      <c r="I6" s="1"/>
    </row>
    <row r="7" spans="2:9">
      <c r="B7" s="30" t="s">
        <v>8</v>
      </c>
      <c r="C7" s="31" t="s">
        <v>9</v>
      </c>
      <c r="D7" s="32" t="s">
        <v>10</v>
      </c>
      <c r="E7" s="33" t="s">
        <v>11</v>
      </c>
      <c r="F7" s="34" t="s">
        <v>12</v>
      </c>
      <c r="H7" s="1"/>
      <c r="I7" s="1"/>
    </row>
    <row r="8" spans="2:9">
      <c r="B8" s="21">
        <v>0</v>
      </c>
      <c r="C8" s="35">
        <v>-80000</v>
      </c>
      <c r="D8" s="36">
        <f>1/(1+0.01)^(B8)</f>
        <v>1</v>
      </c>
      <c r="E8" s="35">
        <f>C8*D8</f>
        <v>-80000</v>
      </c>
      <c r="F8" s="37">
        <f>SUM(E8:E8)</f>
        <v>-80000</v>
      </c>
      <c r="H8" s="1"/>
      <c r="I8" s="1"/>
    </row>
    <row r="9" spans="2:9">
      <c r="B9" s="21">
        <v>1</v>
      </c>
      <c r="C9" s="35">
        <v>6500</v>
      </c>
      <c r="D9" s="36">
        <f>1/(1+0.01)^(B9)</f>
        <v>0.99009900990099009</v>
      </c>
      <c r="E9" s="35">
        <f t="shared" ref="E9:E50" si="0">C9*D9</f>
        <v>6435.6435643564355</v>
      </c>
      <c r="F9" s="37">
        <f>E9+F8</f>
        <v>-73564.356435643567</v>
      </c>
      <c r="H9" s="1"/>
      <c r="I9" s="1"/>
    </row>
    <row r="10" spans="2:9">
      <c r="B10" s="21">
        <v>2</v>
      </c>
      <c r="C10" s="35">
        <v>6500</v>
      </c>
      <c r="D10" s="36">
        <f t="shared" ref="D10:D51" si="1">1/(1+0.01)^(B10)</f>
        <v>0.98029604940692083</v>
      </c>
      <c r="E10" s="35">
        <f t="shared" si="0"/>
        <v>6371.9243211449857</v>
      </c>
      <c r="F10" s="37">
        <f t="shared" ref="F10:F51" si="2">E10+F9</f>
        <v>-67192.432114498588</v>
      </c>
      <c r="H10" s="1"/>
      <c r="I10" s="1"/>
    </row>
    <row r="11" spans="2:9">
      <c r="B11" s="21">
        <v>3</v>
      </c>
      <c r="C11" s="35">
        <v>6500</v>
      </c>
      <c r="D11" s="36">
        <f t="shared" si="1"/>
        <v>0.97059014792764453</v>
      </c>
      <c r="E11" s="35">
        <f t="shared" si="0"/>
        <v>6308.8359615296895</v>
      </c>
      <c r="F11" s="37">
        <f t="shared" si="2"/>
        <v>-60883.596152968901</v>
      </c>
      <c r="H11" s="1"/>
      <c r="I11" s="1"/>
    </row>
    <row r="12" spans="2:9">
      <c r="B12" s="21">
        <v>4</v>
      </c>
      <c r="C12" s="35">
        <v>6500</v>
      </c>
      <c r="D12" s="36">
        <f t="shared" si="1"/>
        <v>0.96098034448281622</v>
      </c>
      <c r="E12" s="35">
        <f t="shared" si="0"/>
        <v>6246.3722391383053</v>
      </c>
      <c r="F12" s="37">
        <f t="shared" si="2"/>
        <v>-54637.223913830596</v>
      </c>
      <c r="H12" s="1"/>
      <c r="I12" s="1"/>
    </row>
    <row r="13" spans="2:9">
      <c r="B13" s="21">
        <v>5</v>
      </c>
      <c r="C13" s="35">
        <v>6500</v>
      </c>
      <c r="D13" s="36">
        <f t="shared" si="1"/>
        <v>0.95146568760674888</v>
      </c>
      <c r="E13" s="35">
        <f t="shared" si="0"/>
        <v>6184.5269694438675</v>
      </c>
      <c r="F13" s="37">
        <f t="shared" si="2"/>
        <v>-48452.696944386727</v>
      </c>
      <c r="H13" s="1"/>
      <c r="I13" s="1"/>
    </row>
    <row r="14" spans="2:9">
      <c r="B14" s="21">
        <v>6</v>
      </c>
      <c r="C14" s="35">
        <v>6500</v>
      </c>
      <c r="D14" s="36">
        <f t="shared" si="1"/>
        <v>0.94204523525420658</v>
      </c>
      <c r="E14" s="35">
        <f t="shared" si="0"/>
        <v>6123.2940291523428</v>
      </c>
      <c r="F14" s="37">
        <f t="shared" si="2"/>
        <v>-42329.402915234386</v>
      </c>
    </row>
    <row r="15" spans="2:9">
      <c r="B15" s="21">
        <v>7</v>
      </c>
      <c r="C15" s="35">
        <v>6500</v>
      </c>
      <c r="D15" s="36">
        <f t="shared" si="1"/>
        <v>0.93271805470713554</v>
      </c>
      <c r="E15" s="35">
        <f t="shared" si="0"/>
        <v>6062.6673555963807</v>
      </c>
      <c r="F15" s="37">
        <f t="shared" si="2"/>
        <v>-36266.735559638008</v>
      </c>
    </row>
    <row r="16" spans="2:9">
      <c r="B16" s="21">
        <v>8</v>
      </c>
      <c r="C16" s="35">
        <v>6500</v>
      </c>
      <c r="D16" s="36">
        <f t="shared" si="1"/>
        <v>0.92348322248231218</v>
      </c>
      <c r="E16" s="35">
        <f t="shared" si="0"/>
        <v>6002.6409461350295</v>
      </c>
      <c r="F16" s="37">
        <f t="shared" si="2"/>
        <v>-30264.094613502977</v>
      </c>
    </row>
    <row r="17" spans="2:6">
      <c r="B17" s="21">
        <v>9</v>
      </c>
      <c r="C17" s="35">
        <v>6500</v>
      </c>
      <c r="D17" s="36">
        <f t="shared" si="1"/>
        <v>0.91433982423991289</v>
      </c>
      <c r="E17" s="35">
        <f t="shared" si="0"/>
        <v>5943.2088575594335</v>
      </c>
      <c r="F17" s="37">
        <f t="shared" si="2"/>
        <v>-24320.885755943542</v>
      </c>
    </row>
    <row r="18" spans="2:6">
      <c r="B18" s="21">
        <v>10</v>
      </c>
      <c r="C18" s="35">
        <v>6500</v>
      </c>
      <c r="D18" s="36">
        <f t="shared" si="1"/>
        <v>0.90528695469298315</v>
      </c>
      <c r="E18" s="35">
        <f t="shared" si="0"/>
        <v>5884.3652055043904</v>
      </c>
      <c r="F18" s="37">
        <f t="shared" si="2"/>
        <v>-18436.520550439152</v>
      </c>
    </row>
    <row r="19" spans="2:6">
      <c r="B19" s="21">
        <v>11</v>
      </c>
      <c r="C19" s="35">
        <v>6500</v>
      </c>
      <c r="D19" s="36">
        <f t="shared" si="1"/>
        <v>0.89632371751780526</v>
      </c>
      <c r="E19" s="35">
        <f t="shared" si="0"/>
        <v>5826.1041638657343</v>
      </c>
      <c r="F19" s="37">
        <f t="shared" si="2"/>
        <v>-12610.416386573419</v>
      </c>
    </row>
    <row r="20" spans="2:6">
      <c r="B20" s="21">
        <v>12</v>
      </c>
      <c r="C20" s="35">
        <v>6500</v>
      </c>
      <c r="D20" s="36">
        <f t="shared" si="1"/>
        <v>0.88744922526515368</v>
      </c>
      <c r="E20" s="35">
        <f t="shared" si="0"/>
        <v>5768.4199642234989</v>
      </c>
      <c r="F20" s="37">
        <f t="shared" si="2"/>
        <v>-6841.9964223499201</v>
      </c>
    </row>
    <row r="21" spans="2:6">
      <c r="B21" s="21">
        <v>13</v>
      </c>
      <c r="C21" s="35">
        <v>6500</v>
      </c>
      <c r="D21" s="36">
        <f t="shared" si="1"/>
        <v>0.87866259927242929</v>
      </c>
      <c r="E21" s="35">
        <f t="shared" si="0"/>
        <v>5711.3068952707899</v>
      </c>
      <c r="F21" s="37">
        <f t="shared" si="2"/>
        <v>-1130.6895270791301</v>
      </c>
    </row>
    <row r="22" spans="2:6">
      <c r="B22" s="21">
        <v>14</v>
      </c>
      <c r="C22" s="35">
        <v>6500</v>
      </c>
      <c r="D22" s="36">
        <f t="shared" si="1"/>
        <v>0.86996296957666264</v>
      </c>
      <c r="E22" s="35">
        <f t="shared" si="0"/>
        <v>5654.759302248307</v>
      </c>
      <c r="F22" s="37">
        <f t="shared" si="2"/>
        <v>4524.0697751691769</v>
      </c>
    </row>
    <row r="23" spans="2:6">
      <c r="B23" s="21">
        <v>15</v>
      </c>
      <c r="C23" s="35">
        <v>6500</v>
      </c>
      <c r="D23" s="36">
        <f t="shared" si="1"/>
        <v>0.86134947482837909</v>
      </c>
      <c r="E23" s="35">
        <f t="shared" si="0"/>
        <v>5598.7715863844642</v>
      </c>
      <c r="F23" s="37">
        <f t="shared" si="2"/>
        <v>10122.841361553641</v>
      </c>
    </row>
    <row r="24" spans="2:6">
      <c r="B24" s="21">
        <v>16</v>
      </c>
      <c r="C24" s="35">
        <v>6500</v>
      </c>
      <c r="D24" s="36">
        <f t="shared" si="1"/>
        <v>0.8528212622063156</v>
      </c>
      <c r="E24" s="35">
        <f t="shared" si="0"/>
        <v>5543.3382043410511</v>
      </c>
      <c r="F24" s="37">
        <f t="shared" si="2"/>
        <v>15666.179565894692</v>
      </c>
    </row>
    <row r="25" spans="2:6">
      <c r="B25" s="21">
        <v>17</v>
      </c>
      <c r="C25" s="35">
        <v>6500</v>
      </c>
      <c r="D25" s="36">
        <f t="shared" si="1"/>
        <v>0.84437748733298568</v>
      </c>
      <c r="E25" s="35">
        <f t="shared" si="0"/>
        <v>5488.4536676644066</v>
      </c>
      <c r="F25" s="37">
        <f t="shared" si="2"/>
        <v>21154.6332335591</v>
      </c>
    </row>
    <row r="26" spans="2:6">
      <c r="B26" s="21">
        <v>18</v>
      </c>
      <c r="C26" s="35">
        <v>6500</v>
      </c>
      <c r="D26" s="36">
        <f t="shared" si="1"/>
        <v>0.83601731419107495</v>
      </c>
      <c r="E26" s="35">
        <f t="shared" si="0"/>
        <v>5434.1125422419873</v>
      </c>
      <c r="F26" s="37">
        <f t="shared" si="2"/>
        <v>26588.745775801086</v>
      </c>
    </row>
    <row r="27" spans="2:6">
      <c r="B27" s="21">
        <v>19</v>
      </c>
      <c r="C27" s="35">
        <v>6500</v>
      </c>
      <c r="D27" s="36">
        <f t="shared" si="1"/>
        <v>0.82773991504066846</v>
      </c>
      <c r="E27" s="35">
        <f t="shared" si="0"/>
        <v>5380.3094477643454</v>
      </c>
      <c r="F27" s="37">
        <f t="shared" si="2"/>
        <v>31969.055223565432</v>
      </c>
    </row>
    <row r="28" spans="2:6">
      <c r="B28" s="21">
        <v>20</v>
      </c>
      <c r="C28" s="35">
        <v>6500</v>
      </c>
      <c r="D28" s="36">
        <f t="shared" si="1"/>
        <v>0.81954447033729538</v>
      </c>
      <c r="E28" s="35">
        <f t="shared" si="0"/>
        <v>5327.0390571924199</v>
      </c>
      <c r="F28" s="37">
        <f t="shared" si="2"/>
        <v>37296.094280757854</v>
      </c>
    </row>
    <row r="29" spans="2:6">
      <c r="B29" s="21">
        <v>21</v>
      </c>
      <c r="C29" s="35">
        <v>6500</v>
      </c>
      <c r="D29" s="36">
        <f t="shared" si="1"/>
        <v>0.81143016865078765</v>
      </c>
      <c r="E29" s="35">
        <f t="shared" si="0"/>
        <v>5274.2960962301195</v>
      </c>
      <c r="F29" s="37">
        <f t="shared" si="2"/>
        <v>42570.390376987976</v>
      </c>
    </row>
    <row r="30" spans="2:6">
      <c r="B30" s="21">
        <v>22</v>
      </c>
      <c r="C30" s="35">
        <v>6500</v>
      </c>
      <c r="D30" s="36">
        <f t="shared" si="1"/>
        <v>0.80339620658493804</v>
      </c>
      <c r="E30" s="35">
        <f t="shared" si="0"/>
        <v>5222.0753428020971</v>
      </c>
      <c r="F30" s="37">
        <f t="shared" si="2"/>
        <v>47792.465719790074</v>
      </c>
    </row>
    <row r="31" spans="2:6">
      <c r="B31" s="21">
        <v>23</v>
      </c>
      <c r="C31" s="35">
        <v>6500</v>
      </c>
      <c r="D31" s="36">
        <f t="shared" si="1"/>
        <v>0.79544178869795856</v>
      </c>
      <c r="E31" s="35">
        <f t="shared" si="0"/>
        <v>5170.3716265367302</v>
      </c>
      <c r="F31" s="37">
        <f t="shared" si="2"/>
        <v>52962.837346326807</v>
      </c>
    </row>
    <row r="32" spans="2:6">
      <c r="B32" s="21">
        <v>24</v>
      </c>
      <c r="C32" s="35">
        <v>6500</v>
      </c>
      <c r="D32" s="36">
        <f t="shared" si="1"/>
        <v>0.78756612742372123</v>
      </c>
      <c r="E32" s="35">
        <f t="shared" si="0"/>
        <v>5119.1798282541877</v>
      </c>
      <c r="F32" s="37">
        <f t="shared" si="2"/>
        <v>58082.017174580993</v>
      </c>
    </row>
    <row r="33" spans="2:6">
      <c r="B33" s="21">
        <v>25</v>
      </c>
      <c r="C33" s="35">
        <v>6500</v>
      </c>
      <c r="D33" s="36">
        <f t="shared" si="1"/>
        <v>0.77976844299378323</v>
      </c>
      <c r="E33" s="35">
        <f t="shared" si="0"/>
        <v>5068.4948794595912</v>
      </c>
      <c r="F33" s="37">
        <f t="shared" si="2"/>
        <v>63150.512054040584</v>
      </c>
    </row>
    <row r="34" spans="2:6">
      <c r="B34" s="21">
        <v>26</v>
      </c>
      <c r="C34" s="35">
        <v>6500</v>
      </c>
      <c r="D34" s="36">
        <f t="shared" si="1"/>
        <v>0.77204796336018144</v>
      </c>
      <c r="E34" s="35">
        <f t="shared" si="0"/>
        <v>5018.3117618411798</v>
      </c>
      <c r="F34" s="37">
        <f t="shared" si="2"/>
        <v>68168.823815881769</v>
      </c>
    </row>
    <row r="35" spans="2:6">
      <c r="B35" s="21">
        <v>27</v>
      </c>
      <c r="C35" s="35">
        <v>6500</v>
      </c>
      <c r="D35" s="36">
        <f t="shared" si="1"/>
        <v>0.76440392411899183</v>
      </c>
      <c r="E35" s="35">
        <f t="shared" si="0"/>
        <v>4968.6255067734473</v>
      </c>
      <c r="F35" s="37">
        <f t="shared" si="2"/>
        <v>73137.449322655215</v>
      </c>
    </row>
    <row r="36" spans="2:6">
      <c r="B36" s="21">
        <v>28</v>
      </c>
      <c r="C36" s="35">
        <v>6500</v>
      </c>
      <c r="D36" s="36">
        <f t="shared" si="1"/>
        <v>0.75683556843464528</v>
      </c>
      <c r="E36" s="35">
        <f t="shared" si="0"/>
        <v>4919.4311948251943</v>
      </c>
      <c r="F36" s="37">
        <f t="shared" si="2"/>
        <v>78056.880517480415</v>
      </c>
    </row>
    <row r="37" spans="2:6">
      <c r="B37" s="21">
        <v>29</v>
      </c>
      <c r="C37" s="35">
        <v>6500</v>
      </c>
      <c r="D37" s="36">
        <f t="shared" si="1"/>
        <v>0.74934214696499535</v>
      </c>
      <c r="E37" s="35">
        <f t="shared" si="0"/>
        <v>4870.7239552724695</v>
      </c>
      <c r="F37" s="37">
        <f t="shared" si="2"/>
        <v>82927.604472752879</v>
      </c>
    </row>
    <row r="38" spans="2:6">
      <c r="B38" s="21">
        <v>30</v>
      </c>
      <c r="C38" s="35">
        <v>6500</v>
      </c>
      <c r="D38" s="36">
        <f t="shared" si="1"/>
        <v>0.74192291778712394</v>
      </c>
      <c r="E38" s="35">
        <f t="shared" si="0"/>
        <v>4822.4989656163052</v>
      </c>
      <c r="F38" s="37">
        <f t="shared" si="2"/>
        <v>87750.103438369188</v>
      </c>
    </row>
    <row r="39" spans="2:6">
      <c r="B39" s="21">
        <v>31</v>
      </c>
      <c r="C39" s="35">
        <v>6500</v>
      </c>
      <c r="D39" s="36">
        <f t="shared" si="1"/>
        <v>0.73457714632388538</v>
      </c>
      <c r="E39" s="35">
        <f t="shared" si="0"/>
        <v>4774.751451105255</v>
      </c>
      <c r="F39" s="37">
        <f t="shared" si="2"/>
        <v>92524.854889474445</v>
      </c>
    </row>
    <row r="40" spans="2:6">
      <c r="B40" s="21">
        <v>32</v>
      </c>
      <c r="C40" s="35">
        <v>6500</v>
      </c>
      <c r="D40" s="36">
        <f t="shared" si="1"/>
        <v>0.7273041052711734</v>
      </c>
      <c r="E40" s="35">
        <f t="shared" si="0"/>
        <v>4727.4766842626268</v>
      </c>
      <c r="F40" s="37">
        <f t="shared" si="2"/>
        <v>97252.331573737072</v>
      </c>
    </row>
    <row r="41" spans="2:6">
      <c r="B41" s="21">
        <v>33</v>
      </c>
      <c r="C41" s="35">
        <v>6500</v>
      </c>
      <c r="D41" s="36">
        <f t="shared" si="1"/>
        <v>0.72010307452591427</v>
      </c>
      <c r="E41" s="35">
        <f t="shared" si="0"/>
        <v>4680.6699844184432</v>
      </c>
      <c r="F41" s="37">
        <f t="shared" si="2"/>
        <v>101933.00155815552</v>
      </c>
    </row>
    <row r="42" spans="2:6">
      <c r="B42" s="21">
        <v>34</v>
      </c>
      <c r="C42" s="35">
        <v>6500</v>
      </c>
      <c r="D42" s="36">
        <f t="shared" si="1"/>
        <v>0.71297334111476662</v>
      </c>
      <c r="E42" s="35">
        <f t="shared" si="0"/>
        <v>4634.3267172459828</v>
      </c>
      <c r="F42" s="37">
        <f t="shared" si="2"/>
        <v>106567.32827540151</v>
      </c>
    </row>
    <row r="43" spans="2:6">
      <c r="B43" s="21">
        <v>35</v>
      </c>
      <c r="C43" s="35">
        <v>6500</v>
      </c>
      <c r="D43" s="36">
        <f t="shared" si="1"/>
        <v>0.70591419912353137</v>
      </c>
      <c r="E43" s="35">
        <f t="shared" si="0"/>
        <v>4588.442294302954</v>
      </c>
      <c r="F43" s="37">
        <f t="shared" si="2"/>
        <v>111155.77056970446</v>
      </c>
    </row>
    <row r="44" spans="2:6">
      <c r="B44" s="21">
        <v>36</v>
      </c>
      <c r="C44" s="35">
        <v>6500</v>
      </c>
      <c r="D44" s="36">
        <f t="shared" si="1"/>
        <v>0.69892494962725871</v>
      </c>
      <c r="E44" s="35">
        <f t="shared" si="0"/>
        <v>4543.0121725771814</v>
      </c>
      <c r="F44" s="37">
        <f t="shared" si="2"/>
        <v>115698.78274228163</v>
      </c>
    </row>
    <row r="45" spans="2:6">
      <c r="B45" s="21">
        <v>37</v>
      </c>
      <c r="C45" s="35">
        <v>6500</v>
      </c>
      <c r="D45" s="36">
        <f t="shared" si="1"/>
        <v>0.69200490062104825</v>
      </c>
      <c r="E45" s="35">
        <f t="shared" si="0"/>
        <v>4498.0318540368135</v>
      </c>
      <c r="F45" s="37">
        <f t="shared" si="2"/>
        <v>120196.81459631845</v>
      </c>
    </row>
    <row r="46" spans="2:6">
      <c r="B46" s="21">
        <v>38</v>
      </c>
      <c r="C46" s="35">
        <v>6500</v>
      </c>
      <c r="D46" s="36">
        <f t="shared" si="1"/>
        <v>0.68515336695153284</v>
      </c>
      <c r="E46" s="35">
        <f t="shared" si="0"/>
        <v>4453.4968851849635</v>
      </c>
      <c r="F46" s="37">
        <f t="shared" si="2"/>
        <v>124650.31148150342</v>
      </c>
    </row>
    <row r="47" spans="2:6">
      <c r="B47" s="21">
        <v>39</v>
      </c>
      <c r="C47" s="35">
        <v>6500</v>
      </c>
      <c r="D47" s="36">
        <f t="shared" si="1"/>
        <v>0.6783696702490426</v>
      </c>
      <c r="E47" s="35">
        <f t="shared" si="0"/>
        <v>4409.4028566187772</v>
      </c>
      <c r="F47" s="37">
        <f t="shared" si="2"/>
        <v>129059.7143381222</v>
      </c>
    </row>
    <row r="48" spans="2:6">
      <c r="B48" s="21">
        <v>40</v>
      </c>
      <c r="C48" s="35">
        <v>6500</v>
      </c>
      <c r="D48" s="36">
        <f t="shared" si="1"/>
        <v>0.67165313886043809</v>
      </c>
      <c r="E48" s="35">
        <f t="shared" si="0"/>
        <v>4365.7454025928473</v>
      </c>
      <c r="F48" s="37">
        <f t="shared" si="2"/>
        <v>133425.45974071504</v>
      </c>
    </row>
    <row r="49" spans="2:6">
      <c r="B49" s="21">
        <v>41</v>
      </c>
      <c r="C49" s="35">
        <v>6500</v>
      </c>
      <c r="D49" s="36">
        <f t="shared" si="1"/>
        <v>0.66500310778261185</v>
      </c>
      <c r="E49" s="35">
        <f t="shared" si="0"/>
        <v>4322.5202005869769</v>
      </c>
      <c r="F49" s="37">
        <f t="shared" si="2"/>
        <v>137747.97994130201</v>
      </c>
    </row>
    <row r="50" spans="2:6">
      <c r="B50" s="22">
        <v>42</v>
      </c>
      <c r="C50" s="38">
        <v>6500</v>
      </c>
      <c r="D50" s="39">
        <f t="shared" si="1"/>
        <v>0.65841891859664536</v>
      </c>
      <c r="E50" s="38">
        <f t="shared" si="0"/>
        <v>4279.7229708781952</v>
      </c>
      <c r="F50" s="42">
        <f t="shared" si="2"/>
        <v>142027.70291218019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E219-73CA-48C6-B1C8-6A5696A5951B}">
  <dimension ref="A2:R41"/>
  <sheetViews>
    <sheetView workbookViewId="0">
      <selection activeCell="E32" sqref="E32"/>
    </sheetView>
  </sheetViews>
  <sheetFormatPr defaultRowHeight="15"/>
  <cols>
    <col min="3" max="3" width="11.85546875" bestFit="1" customWidth="1"/>
    <col min="5" max="5" width="44.140625" customWidth="1"/>
    <col min="6" max="6" width="22.5703125" customWidth="1"/>
    <col min="11" max="11" width="44.140625" customWidth="1"/>
    <col min="12" max="12" width="22.5703125" customWidth="1"/>
    <col min="17" max="17" width="44.140625" customWidth="1"/>
    <col min="18" max="18" width="22.5703125" customWidth="1"/>
  </cols>
  <sheetData>
    <row r="2" spans="1:18" ht="34.5">
      <c r="C2" s="6" t="s">
        <v>13</v>
      </c>
      <c r="I2" s="6"/>
      <c r="O2" s="6"/>
    </row>
    <row r="4" spans="1:18" s="1" customFormat="1">
      <c r="B4" s="11"/>
      <c r="C4" s="12"/>
      <c r="D4" s="12"/>
      <c r="E4" s="12"/>
      <c r="F4" s="13"/>
      <c r="H4" s="11"/>
      <c r="I4" s="12"/>
      <c r="J4" s="12"/>
      <c r="K4" s="12"/>
      <c r="L4" s="13"/>
      <c r="N4" s="11"/>
      <c r="O4" s="12"/>
      <c r="P4" s="12"/>
      <c r="Q4" s="12"/>
      <c r="R4" s="13"/>
    </row>
    <row r="5" spans="1:18" ht="18.75">
      <c r="B5" s="14"/>
      <c r="C5" s="7"/>
      <c r="D5" s="7"/>
      <c r="E5" s="24" t="s">
        <v>14</v>
      </c>
      <c r="F5" s="15"/>
      <c r="H5" s="14"/>
      <c r="I5" s="7"/>
      <c r="J5" s="7"/>
      <c r="K5" s="25" t="s">
        <v>15</v>
      </c>
      <c r="L5" s="15"/>
      <c r="N5" s="14"/>
      <c r="O5" s="7"/>
      <c r="P5" s="7"/>
      <c r="Q5" s="25" t="s">
        <v>16</v>
      </c>
      <c r="R5" s="15"/>
    </row>
    <row r="6" spans="1:18">
      <c r="B6" s="14"/>
      <c r="C6" s="7"/>
      <c r="D6" s="7"/>
      <c r="E6" s="7"/>
      <c r="F6" s="15"/>
      <c r="H6" s="14"/>
      <c r="I6" s="7"/>
      <c r="J6" s="7"/>
      <c r="K6" s="7"/>
      <c r="L6" s="15"/>
      <c r="N6" s="14"/>
      <c r="O6" s="7"/>
      <c r="P6" s="7"/>
      <c r="Q6" s="7"/>
      <c r="R6" s="15"/>
    </row>
    <row r="7" spans="1:18">
      <c r="B7" s="21" t="s">
        <v>17</v>
      </c>
      <c r="C7" s="7" t="s">
        <v>9</v>
      </c>
      <c r="D7" s="7" t="s">
        <v>18</v>
      </c>
      <c r="E7" s="10" t="s">
        <v>11</v>
      </c>
      <c r="F7" s="15" t="s">
        <v>12</v>
      </c>
      <c r="H7" s="21" t="s">
        <v>17</v>
      </c>
      <c r="I7" s="7" t="s">
        <v>9</v>
      </c>
      <c r="J7" s="7" t="s">
        <v>18</v>
      </c>
      <c r="K7" s="10" t="s">
        <v>11</v>
      </c>
      <c r="L7" s="15" t="s">
        <v>12</v>
      </c>
      <c r="N7" s="21" t="s">
        <v>17</v>
      </c>
      <c r="O7" s="7" t="s">
        <v>9</v>
      </c>
      <c r="P7" s="7" t="s">
        <v>18</v>
      </c>
      <c r="Q7" s="10" t="s">
        <v>11</v>
      </c>
      <c r="R7" s="15" t="s">
        <v>12</v>
      </c>
    </row>
    <row r="8" spans="1:18">
      <c r="B8" s="14">
        <v>0</v>
      </c>
      <c r="C8" s="7">
        <v>-150000</v>
      </c>
      <c r="D8" s="7">
        <f>1/(1+0.01)^(B8)</f>
        <v>1</v>
      </c>
      <c r="E8" s="7">
        <f>C8*D8</f>
        <v>-150000</v>
      </c>
      <c r="F8" s="15">
        <f>SUM(E8:E8)</f>
        <v>-150000</v>
      </c>
      <c r="H8" s="14">
        <v>0</v>
      </c>
      <c r="I8" s="7">
        <v>-150000</v>
      </c>
      <c r="J8" s="7">
        <f>1/(1+0.01)^(H8)</f>
        <v>1</v>
      </c>
      <c r="K8" s="7">
        <f>I8*J8</f>
        <v>-150000</v>
      </c>
      <c r="L8" s="15">
        <f>SUM(K8:K8)</f>
        <v>-150000</v>
      </c>
      <c r="N8" s="14">
        <v>0</v>
      </c>
      <c r="O8" s="7">
        <v>-150000</v>
      </c>
      <c r="P8" s="7">
        <f>1/(1+0.01)^(N8)</f>
        <v>1</v>
      </c>
      <c r="Q8" s="7">
        <f>O8*P8</f>
        <v>-150000</v>
      </c>
      <c r="R8" s="15">
        <f>SUM(Q8:Q8)</f>
        <v>-150000</v>
      </c>
    </row>
    <row r="9" spans="1:18">
      <c r="B9" s="14">
        <v>1</v>
      </c>
      <c r="C9" s="7">
        <v>32000</v>
      </c>
      <c r="D9" s="7">
        <f>1/(1+0.12)^(B9)</f>
        <v>0.89285714285714279</v>
      </c>
      <c r="E9" s="7">
        <f t="shared" ref="E9:E13" si="0">C9*D9</f>
        <v>28571.428571428569</v>
      </c>
      <c r="F9" s="15">
        <f>SUM(E9, F8)</f>
        <v>-121428.57142857143</v>
      </c>
      <c r="H9" s="14">
        <v>1</v>
      </c>
      <c r="I9" s="7">
        <v>41000</v>
      </c>
      <c r="J9" s="7">
        <f>1/(1+0.12)^(H9)</f>
        <v>0.89285714285714279</v>
      </c>
      <c r="K9" s="7">
        <f t="shared" ref="K9:K13" si="1">I9*J9</f>
        <v>36607.142857142855</v>
      </c>
      <c r="L9" s="15">
        <f>SUM(K9, L8)</f>
        <v>-113392.85714285714</v>
      </c>
      <c r="N9" s="14">
        <v>1</v>
      </c>
      <c r="O9" s="7">
        <v>28000</v>
      </c>
      <c r="P9" s="7">
        <f>1/(1+0.12)^(N9)</f>
        <v>0.89285714285714279</v>
      </c>
      <c r="Q9" s="7">
        <f t="shared" ref="Q9:Q13" si="2">O9*P9</f>
        <v>25000</v>
      </c>
      <c r="R9" s="15">
        <f>SUM(Q9, R8)</f>
        <v>-125000</v>
      </c>
    </row>
    <row r="10" spans="1:18">
      <c r="B10" s="14">
        <v>2</v>
      </c>
      <c r="C10" s="7">
        <v>43000</v>
      </c>
      <c r="D10" s="7">
        <f t="shared" ref="D10:D13" si="3">1/(1+0.12)^(B10)</f>
        <v>0.79719387755102034</v>
      </c>
      <c r="E10" s="7">
        <f t="shared" si="0"/>
        <v>34279.336734693876</v>
      </c>
      <c r="F10" s="15">
        <f t="shared" ref="F10:F13" si="4">SUM(E10, F9)</f>
        <v>-87149.234693877559</v>
      </c>
      <c r="H10" s="14">
        <v>2</v>
      </c>
      <c r="I10" s="7">
        <v>41000</v>
      </c>
      <c r="J10" s="7">
        <f t="shared" ref="J10:J13" si="5">1/(1+0.12)^(H10)</f>
        <v>0.79719387755102034</v>
      </c>
      <c r="K10" s="7">
        <f t="shared" si="1"/>
        <v>32684.948979591834</v>
      </c>
      <c r="L10" s="15">
        <f t="shared" ref="L10:L13" si="6">SUM(K10, L9)</f>
        <v>-80707.908163265311</v>
      </c>
      <c r="N10" s="14">
        <v>2</v>
      </c>
      <c r="O10" s="7">
        <v>38000</v>
      </c>
      <c r="P10" s="7">
        <f t="shared" ref="P10:P13" si="7">1/(1+0.12)^(N10)</f>
        <v>0.79719387755102034</v>
      </c>
      <c r="Q10" s="7">
        <f t="shared" si="2"/>
        <v>30293.367346938772</v>
      </c>
      <c r="R10" s="15">
        <f t="shared" ref="R10:R13" si="8">SUM(Q10, R9)</f>
        <v>-94706.632653061228</v>
      </c>
    </row>
    <row r="11" spans="1:18">
      <c r="B11" s="14">
        <v>3</v>
      </c>
      <c r="C11" s="7">
        <v>45000</v>
      </c>
      <c r="D11" s="7">
        <f t="shared" si="3"/>
        <v>0.71178024781341087</v>
      </c>
      <c r="E11" s="7">
        <f t="shared" si="0"/>
        <v>32030.111151603491</v>
      </c>
      <c r="F11" s="15">
        <f t="shared" si="4"/>
        <v>-55119.123542274072</v>
      </c>
      <c r="H11" s="14">
        <v>3</v>
      </c>
      <c r="I11" s="7">
        <v>41000</v>
      </c>
      <c r="J11" s="7">
        <f t="shared" si="5"/>
        <v>0.71178024781341087</v>
      </c>
      <c r="K11" s="7">
        <f t="shared" si="1"/>
        <v>29182.990160349847</v>
      </c>
      <c r="L11" s="15">
        <f t="shared" si="6"/>
        <v>-51524.918002915467</v>
      </c>
      <c r="N11" s="14">
        <v>3</v>
      </c>
      <c r="O11" s="7">
        <v>50000</v>
      </c>
      <c r="P11" s="7">
        <f t="shared" si="7"/>
        <v>0.71178024781341087</v>
      </c>
      <c r="Q11" s="7">
        <f t="shared" si="2"/>
        <v>35589.012390670541</v>
      </c>
      <c r="R11" s="15">
        <f t="shared" si="8"/>
        <v>-59117.620262390687</v>
      </c>
    </row>
    <row r="12" spans="1:18">
      <c r="B12" s="14">
        <v>4</v>
      </c>
      <c r="C12" s="7">
        <v>45000</v>
      </c>
      <c r="D12" s="7">
        <f t="shared" si="3"/>
        <v>0.63551807840483121</v>
      </c>
      <c r="E12" s="7">
        <f t="shared" si="0"/>
        <v>28598.313528217404</v>
      </c>
      <c r="F12" s="15">
        <f t="shared" si="4"/>
        <v>-26520.810014056668</v>
      </c>
      <c r="H12" s="14">
        <v>4</v>
      </c>
      <c r="I12" s="7">
        <v>45000</v>
      </c>
      <c r="J12" s="7">
        <f t="shared" si="5"/>
        <v>0.63551807840483121</v>
      </c>
      <c r="K12" s="7">
        <f t="shared" si="1"/>
        <v>28598.313528217404</v>
      </c>
      <c r="L12" s="15">
        <f t="shared" si="6"/>
        <v>-22926.604474698062</v>
      </c>
      <c r="N12" s="14">
        <v>4</v>
      </c>
      <c r="O12" s="7">
        <v>50000</v>
      </c>
      <c r="P12" s="7">
        <f t="shared" si="7"/>
        <v>0.63551807840483121</v>
      </c>
      <c r="Q12" s="7">
        <f t="shared" si="2"/>
        <v>31775.903920241559</v>
      </c>
      <c r="R12" s="15">
        <f t="shared" si="8"/>
        <v>-27341.716342149128</v>
      </c>
    </row>
    <row r="13" spans="1:18">
      <c r="B13" s="14">
        <v>5</v>
      </c>
      <c r="C13" s="7">
        <v>50000</v>
      </c>
      <c r="D13" s="7">
        <f t="shared" si="3"/>
        <v>0.56742685571859919</v>
      </c>
      <c r="E13" s="7">
        <f t="shared" si="0"/>
        <v>28371.342785929959</v>
      </c>
      <c r="F13" s="15">
        <f t="shared" si="4"/>
        <v>1850.5327718732915</v>
      </c>
      <c r="H13" s="14">
        <v>5</v>
      </c>
      <c r="I13" s="7">
        <v>45000</v>
      </c>
      <c r="J13" s="7">
        <f t="shared" si="5"/>
        <v>0.56742685571859919</v>
      </c>
      <c r="K13" s="7">
        <f t="shared" si="1"/>
        <v>25534.208507336964</v>
      </c>
      <c r="L13" s="15">
        <f t="shared" si="6"/>
        <v>2607.6040326389011</v>
      </c>
      <c r="N13" s="14">
        <v>5</v>
      </c>
      <c r="O13" s="7">
        <v>50000</v>
      </c>
      <c r="P13" s="7">
        <f t="shared" si="7"/>
        <v>0.56742685571859919</v>
      </c>
      <c r="Q13" s="7">
        <f t="shared" si="2"/>
        <v>28371.342785929959</v>
      </c>
      <c r="R13" s="15">
        <f t="shared" si="8"/>
        <v>1029.6264437808313</v>
      </c>
    </row>
    <row r="14" spans="1:18">
      <c r="B14" s="14"/>
      <c r="C14" s="7"/>
      <c r="D14" s="7"/>
      <c r="E14" s="7"/>
      <c r="F14" s="15"/>
      <c r="H14" s="14"/>
      <c r="I14" s="7"/>
      <c r="J14" s="7"/>
      <c r="K14" s="7"/>
      <c r="L14" s="15"/>
      <c r="N14" s="14"/>
      <c r="O14" s="7"/>
      <c r="P14" s="7"/>
      <c r="Q14" s="7"/>
      <c r="R14" s="15"/>
    </row>
    <row r="15" spans="1:18" s="1" customFormat="1">
      <c r="A15" s="1" t="s">
        <v>19</v>
      </c>
      <c r="B15" s="23" t="s">
        <v>20</v>
      </c>
      <c r="C15" s="8">
        <f xml:space="preserve"> F13</f>
        <v>1850.5327718732915</v>
      </c>
      <c r="D15" s="9"/>
      <c r="E15" s="9"/>
      <c r="F15" s="16"/>
      <c r="H15" s="23" t="s">
        <v>21</v>
      </c>
      <c r="I15" s="9">
        <f>L13</f>
        <v>2607.6040326389011</v>
      </c>
      <c r="J15" s="9"/>
      <c r="K15" s="9"/>
      <c r="L15" s="16"/>
      <c r="N15" s="23" t="s">
        <v>22</v>
      </c>
      <c r="O15" s="9">
        <f>R13</f>
        <v>1029.6264437808313</v>
      </c>
      <c r="P15" s="9"/>
      <c r="Q15" s="9"/>
      <c r="R15" s="16"/>
    </row>
    <row r="16" spans="1:18">
      <c r="B16" s="14"/>
      <c r="C16" s="7"/>
      <c r="D16" s="7"/>
      <c r="E16" s="7"/>
      <c r="F16" s="15"/>
      <c r="H16" s="14"/>
      <c r="I16" s="7"/>
      <c r="J16" s="7"/>
      <c r="K16" s="7"/>
      <c r="L16" s="15"/>
      <c r="N16" s="14"/>
      <c r="O16" s="7"/>
      <c r="P16" s="7"/>
      <c r="Q16" s="7"/>
      <c r="R16" s="15"/>
    </row>
    <row r="17" spans="1:18">
      <c r="B17" s="14"/>
      <c r="C17" s="7"/>
      <c r="D17" s="7"/>
      <c r="E17" s="7"/>
      <c r="F17" s="15"/>
      <c r="H17" s="14"/>
      <c r="I17" s="7"/>
      <c r="J17" s="7"/>
      <c r="K17" s="7"/>
      <c r="L17" s="15"/>
      <c r="N17" s="14"/>
      <c r="O17" s="7"/>
      <c r="P17" s="7"/>
      <c r="Q17" s="7"/>
      <c r="R17" s="15"/>
    </row>
    <row r="18" spans="1:18">
      <c r="B18" s="14"/>
      <c r="C18" s="7"/>
      <c r="D18" s="7"/>
      <c r="E18" s="7"/>
      <c r="F18" s="15"/>
      <c r="H18" s="14"/>
      <c r="I18" s="7"/>
      <c r="J18" s="7"/>
      <c r="K18" s="7"/>
      <c r="L18" s="15"/>
      <c r="N18" s="14"/>
      <c r="O18" s="7"/>
      <c r="P18" s="7"/>
      <c r="Q18" s="7"/>
      <c r="R18" s="15"/>
    </row>
    <row r="19" spans="1:18">
      <c r="B19" s="14">
        <v>0</v>
      </c>
      <c r="C19" s="7">
        <f>C8</f>
        <v>-150000</v>
      </c>
      <c r="D19" s="7"/>
      <c r="E19" s="7"/>
      <c r="F19" s="15"/>
      <c r="H19" s="14">
        <v>0</v>
      </c>
      <c r="I19" s="7">
        <f>I8</f>
        <v>-150000</v>
      </c>
      <c r="J19" s="7"/>
      <c r="K19" s="7"/>
      <c r="L19" s="15"/>
      <c r="N19" s="14">
        <v>0</v>
      </c>
      <c r="O19" s="7">
        <f>O8</f>
        <v>-150000</v>
      </c>
      <c r="P19" s="7"/>
      <c r="Q19" s="7"/>
      <c r="R19" s="15"/>
    </row>
    <row r="20" spans="1:18">
      <c r="B20" s="14">
        <v>1</v>
      </c>
      <c r="C20" s="7">
        <f>C9+C19</f>
        <v>-118000</v>
      </c>
      <c r="D20" s="7"/>
      <c r="E20" s="7"/>
      <c r="F20" s="15"/>
      <c r="H20" s="14">
        <v>1</v>
      </c>
      <c r="I20" s="7">
        <f>I9+I19</f>
        <v>-109000</v>
      </c>
      <c r="J20" s="7"/>
      <c r="K20" s="7"/>
      <c r="L20" s="15"/>
      <c r="N20" s="14">
        <v>1</v>
      </c>
      <c r="O20" s="7">
        <f>O9+O19</f>
        <v>-122000</v>
      </c>
      <c r="P20" s="7"/>
      <c r="Q20" s="7"/>
      <c r="R20" s="15"/>
    </row>
    <row r="21" spans="1:18">
      <c r="B21" s="14">
        <v>2</v>
      </c>
      <c r="C21" s="7">
        <f t="shared" ref="C21:C24" si="9">C10+C20</f>
        <v>-75000</v>
      </c>
      <c r="D21" s="7"/>
      <c r="E21" s="7"/>
      <c r="F21" s="15"/>
      <c r="H21" s="14">
        <v>2</v>
      </c>
      <c r="I21" s="7">
        <f t="shared" ref="I21:I24" si="10">I10+I20</f>
        <v>-68000</v>
      </c>
      <c r="J21" s="7"/>
      <c r="K21" s="7"/>
      <c r="L21" s="15"/>
      <c r="N21" s="14">
        <v>2</v>
      </c>
      <c r="O21" s="7">
        <f t="shared" ref="O21:O24" si="11">O10+O20</f>
        <v>-84000</v>
      </c>
      <c r="P21" s="7"/>
      <c r="Q21" s="7"/>
      <c r="R21" s="15"/>
    </row>
    <row r="22" spans="1:18">
      <c r="B22" s="14">
        <v>3</v>
      </c>
      <c r="C22" s="7">
        <f t="shared" si="9"/>
        <v>-30000</v>
      </c>
      <c r="D22" s="7"/>
      <c r="E22" s="7"/>
      <c r="F22" s="15"/>
      <c r="H22" s="14">
        <v>3</v>
      </c>
      <c r="I22" s="7">
        <f t="shared" si="10"/>
        <v>-27000</v>
      </c>
      <c r="J22" s="7"/>
      <c r="K22" s="7"/>
      <c r="L22" s="15"/>
      <c r="N22" s="14">
        <v>3</v>
      </c>
      <c r="O22" s="7">
        <f t="shared" si="11"/>
        <v>-34000</v>
      </c>
      <c r="P22" s="7"/>
      <c r="Q22" s="7"/>
      <c r="R22" s="15"/>
    </row>
    <row r="23" spans="1:18">
      <c r="B23" s="14">
        <v>4</v>
      </c>
      <c r="C23" s="7">
        <f t="shared" si="9"/>
        <v>15000</v>
      </c>
      <c r="D23" s="7" t="s">
        <v>23</v>
      </c>
      <c r="E23" s="7"/>
      <c r="F23" s="15"/>
      <c r="H23" s="14">
        <v>4</v>
      </c>
      <c r="I23" s="7">
        <f t="shared" si="10"/>
        <v>18000</v>
      </c>
      <c r="J23" s="7" t="s">
        <v>23</v>
      </c>
      <c r="K23" s="7"/>
      <c r="L23" s="15"/>
      <c r="N23" s="14">
        <v>4</v>
      </c>
      <c r="O23" s="7">
        <f t="shared" si="11"/>
        <v>16000</v>
      </c>
      <c r="P23" s="7" t="s">
        <v>23</v>
      </c>
      <c r="Q23" s="7"/>
      <c r="R23" s="15"/>
    </row>
    <row r="24" spans="1:18">
      <c r="B24" s="14">
        <v>5</v>
      </c>
      <c r="C24" s="7">
        <f t="shared" si="9"/>
        <v>65000</v>
      </c>
      <c r="D24" s="7"/>
      <c r="E24" s="7"/>
      <c r="F24" s="15"/>
      <c r="H24" s="14">
        <v>5</v>
      </c>
      <c r="I24" s="7">
        <f t="shared" si="10"/>
        <v>63000</v>
      </c>
      <c r="J24" s="7"/>
      <c r="K24" s="7"/>
      <c r="L24" s="15"/>
      <c r="N24" s="14">
        <v>5</v>
      </c>
      <c r="O24" s="7">
        <f t="shared" si="11"/>
        <v>66000</v>
      </c>
      <c r="P24" s="7"/>
      <c r="Q24" s="7"/>
      <c r="R24" s="15"/>
    </row>
    <row r="25" spans="1:18">
      <c r="B25" s="14"/>
      <c r="C25" s="7"/>
      <c r="D25" s="7"/>
      <c r="E25" s="7"/>
      <c r="F25" s="15"/>
      <c r="H25" s="14"/>
      <c r="I25" s="7"/>
      <c r="J25" s="7"/>
      <c r="K25" s="7"/>
      <c r="L25" s="15"/>
      <c r="N25" s="14"/>
      <c r="O25" s="7"/>
      <c r="P25" s="7"/>
      <c r="Q25" s="7"/>
      <c r="R25" s="15"/>
    </row>
    <row r="26" spans="1:18">
      <c r="B26" s="21" t="s">
        <v>24</v>
      </c>
      <c r="C26" s="7" t="s">
        <v>25</v>
      </c>
      <c r="D26" s="7"/>
      <c r="E26" s="7" t="s">
        <v>26</v>
      </c>
      <c r="F26" s="15"/>
      <c r="H26" s="21" t="s">
        <v>24</v>
      </c>
      <c r="I26" s="7" t="s">
        <v>27</v>
      </c>
      <c r="J26" s="7"/>
      <c r="K26" s="7" t="s">
        <v>28</v>
      </c>
      <c r="L26" s="15"/>
      <c r="N26" s="21" t="s">
        <v>24</v>
      </c>
      <c r="O26" s="7" t="s">
        <v>29</v>
      </c>
      <c r="P26" s="7"/>
      <c r="Q26" s="7" t="s">
        <v>30</v>
      </c>
      <c r="R26" s="15"/>
    </row>
    <row r="27" spans="1:18">
      <c r="B27" s="21"/>
      <c r="C27" s="7"/>
      <c r="D27" s="7"/>
      <c r="E27" s="7"/>
      <c r="F27" s="15"/>
      <c r="H27" s="21"/>
      <c r="I27" s="7"/>
      <c r="J27" s="7"/>
      <c r="K27" s="7"/>
      <c r="L27" s="15"/>
      <c r="N27" s="21"/>
      <c r="O27" s="7"/>
      <c r="P27" s="7"/>
      <c r="Q27" s="7"/>
      <c r="R27" s="15"/>
    </row>
    <row r="28" spans="1:18" s="1" customFormat="1">
      <c r="A28" s="1" t="s">
        <v>31</v>
      </c>
      <c r="B28" s="23" t="s">
        <v>24</v>
      </c>
      <c r="C28" s="9" t="s">
        <v>32</v>
      </c>
      <c r="D28" s="9"/>
      <c r="E28" s="9"/>
      <c r="F28" s="16"/>
      <c r="H28" s="23" t="s">
        <v>24</v>
      </c>
      <c r="I28" s="9" t="s">
        <v>33</v>
      </c>
      <c r="J28" s="9"/>
      <c r="K28" s="9"/>
      <c r="L28" s="16"/>
      <c r="N28" s="23" t="s">
        <v>24</v>
      </c>
      <c r="O28" s="9" t="s">
        <v>34</v>
      </c>
      <c r="P28" s="9"/>
      <c r="Q28" s="9"/>
      <c r="R28" s="16"/>
    </row>
    <row r="29" spans="1:18">
      <c r="B29" s="21"/>
      <c r="C29" s="7"/>
      <c r="D29" s="7"/>
      <c r="E29" s="7"/>
      <c r="F29" s="15"/>
      <c r="H29" s="21"/>
      <c r="I29" s="7"/>
      <c r="J29" s="7"/>
      <c r="K29" s="7"/>
      <c r="L29" s="15"/>
      <c r="N29" s="21"/>
      <c r="O29" s="7"/>
      <c r="P29" s="7"/>
      <c r="Q29" s="7"/>
      <c r="R29" s="15"/>
    </row>
    <row r="30" spans="1:18">
      <c r="B30" s="21"/>
      <c r="C30" s="7"/>
      <c r="D30" s="7"/>
      <c r="E30" s="7"/>
      <c r="F30" s="15"/>
      <c r="H30" s="21"/>
      <c r="I30" s="7"/>
      <c r="J30" s="7"/>
      <c r="K30" s="7"/>
      <c r="L30" s="15"/>
      <c r="N30" s="21"/>
      <c r="O30" s="7"/>
      <c r="P30" s="7"/>
      <c r="Q30" s="7"/>
      <c r="R30" s="15"/>
    </row>
    <row r="31" spans="1:18">
      <c r="B31" s="21" t="s">
        <v>35</v>
      </c>
      <c r="C31" s="7" t="s">
        <v>36</v>
      </c>
      <c r="D31" s="7"/>
      <c r="E31" s="7"/>
      <c r="F31" s="15"/>
      <c r="H31" s="21" t="s">
        <v>35</v>
      </c>
      <c r="I31" s="7" t="s">
        <v>36</v>
      </c>
      <c r="J31" s="7"/>
      <c r="K31" s="7"/>
      <c r="L31" s="15"/>
      <c r="N31" s="21" t="s">
        <v>35</v>
      </c>
      <c r="O31" s="7" t="s">
        <v>36</v>
      </c>
      <c r="P31" s="7"/>
      <c r="Q31" s="7"/>
      <c r="R31" s="15"/>
    </row>
    <row r="32" spans="1:18">
      <c r="B32" s="21"/>
      <c r="C32" s="7"/>
      <c r="D32" s="7"/>
      <c r="E32" s="7"/>
      <c r="F32" s="15"/>
      <c r="H32" s="21"/>
      <c r="I32" s="7"/>
      <c r="J32" s="7"/>
      <c r="K32" s="7"/>
      <c r="L32" s="15"/>
      <c r="N32" s="21"/>
      <c r="O32" s="7"/>
      <c r="P32" s="7"/>
      <c r="Q32" s="7"/>
      <c r="R32" s="15"/>
    </row>
    <row r="33" spans="1:18">
      <c r="B33" s="21"/>
      <c r="C33" s="7"/>
      <c r="D33" s="7"/>
      <c r="E33" s="7"/>
      <c r="F33" s="15"/>
      <c r="H33" s="21"/>
      <c r="I33" s="7"/>
      <c r="J33" s="7"/>
      <c r="K33" s="7"/>
      <c r="L33" s="15"/>
      <c r="N33" s="21"/>
      <c r="O33" s="7"/>
      <c r="P33" s="7"/>
      <c r="Q33" s="7"/>
      <c r="R33" s="15"/>
    </row>
    <row r="34" spans="1:18">
      <c r="A34" s="1" t="s">
        <v>37</v>
      </c>
      <c r="B34" s="22" t="s">
        <v>35</v>
      </c>
      <c r="C34" s="18">
        <f>IRR(C8:C13, 10)</f>
        <v>0.12465539809022963</v>
      </c>
      <c r="D34" s="19"/>
      <c r="E34" s="19"/>
      <c r="F34" s="20"/>
      <c r="H34" s="22" t="s">
        <v>35</v>
      </c>
      <c r="I34" s="18">
        <f>IRR(I8:I13, 10)</f>
        <v>0.12686105253328117</v>
      </c>
      <c r="J34" s="19"/>
      <c r="K34" s="19"/>
      <c r="L34" s="20"/>
      <c r="N34" s="22" t="s">
        <v>35</v>
      </c>
      <c r="O34" s="18">
        <f>IRR(O8:O13, 10)</f>
        <v>0.12251282726986479</v>
      </c>
      <c r="P34" s="19"/>
      <c r="Q34" s="19"/>
      <c r="R34" s="20"/>
    </row>
    <row r="38" spans="1:18">
      <c r="B38" s="26"/>
      <c r="C38" s="27"/>
      <c r="D38" s="27"/>
      <c r="E38" s="28"/>
    </row>
    <row r="39" spans="1:18">
      <c r="A39" s="1" t="s">
        <v>38</v>
      </c>
      <c r="B39" s="14" t="s">
        <v>39</v>
      </c>
      <c r="C39" s="7"/>
      <c r="D39" s="7"/>
      <c r="E39" s="15"/>
    </row>
    <row r="40" spans="1:18">
      <c r="B40" s="29" t="s">
        <v>40</v>
      </c>
      <c r="C40" s="7"/>
      <c r="D40" s="7"/>
      <c r="E40" s="15"/>
    </row>
    <row r="41" spans="1:18">
      <c r="B41" s="17"/>
      <c r="C41" s="19"/>
      <c r="D41" s="19"/>
      <c r="E4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EBBF-56B4-47EA-A236-A7D59BA03F73}">
  <dimension ref="A2:K49"/>
  <sheetViews>
    <sheetView topLeftCell="A17" workbookViewId="0">
      <selection activeCell="E21" sqref="E21"/>
    </sheetView>
  </sheetViews>
  <sheetFormatPr defaultRowHeight="15"/>
  <cols>
    <col min="2" max="3" width="9.5703125" bestFit="1" customWidth="1"/>
    <col min="4" max="4" width="9.5703125" customWidth="1"/>
    <col min="5" max="5" width="14" bestFit="1" customWidth="1"/>
    <col min="6" max="7" width="9.85546875" bestFit="1" customWidth="1"/>
    <col min="8" max="8" width="9.85546875" customWidth="1"/>
    <col min="9" max="9" width="14" customWidth="1"/>
    <col min="11" max="11" width="9.42578125" bestFit="1" customWidth="1"/>
  </cols>
  <sheetData>
    <row r="2" spans="1:11" ht="34.5">
      <c r="B2" s="6" t="s">
        <v>41</v>
      </c>
    </row>
    <row r="3" spans="1:11">
      <c r="E3" s="1" t="s">
        <v>42</v>
      </c>
      <c r="F3" s="1" t="s">
        <v>43</v>
      </c>
      <c r="I3" s="1" t="s">
        <v>44</v>
      </c>
      <c r="J3" s="1" t="s">
        <v>45</v>
      </c>
    </row>
    <row r="4" spans="1:11">
      <c r="A4" t="s">
        <v>46</v>
      </c>
      <c r="B4" t="s">
        <v>14</v>
      </c>
      <c r="C4" t="s">
        <v>15</v>
      </c>
      <c r="E4" t="s">
        <v>47</v>
      </c>
      <c r="F4" t="s">
        <v>48</v>
      </c>
      <c r="G4" t="s">
        <v>49</v>
      </c>
      <c r="I4" t="s">
        <v>50</v>
      </c>
      <c r="J4" t="s">
        <v>51</v>
      </c>
      <c r="K4" t="s">
        <v>52</v>
      </c>
    </row>
    <row r="5" spans="1:11">
      <c r="A5">
        <v>0</v>
      </c>
      <c r="B5">
        <v>-843</v>
      </c>
      <c r="C5">
        <v>-690</v>
      </c>
      <c r="E5">
        <f xml:space="preserve"> (1+$E$16)^(-A5)</f>
        <v>1</v>
      </c>
      <c r="F5">
        <f>B5*E5</f>
        <v>-843</v>
      </c>
      <c r="G5">
        <f>C5*E5</f>
        <v>-690</v>
      </c>
      <c r="I5">
        <f xml:space="preserve"> (1+$I$16)^(-A5)</f>
        <v>1</v>
      </c>
      <c r="J5">
        <f>B5*I5</f>
        <v>-843</v>
      </c>
      <c r="K5">
        <f>C5*I5</f>
        <v>-690</v>
      </c>
    </row>
    <row r="6" spans="1:11">
      <c r="A6">
        <v>1</v>
      </c>
      <c r="B6">
        <v>100</v>
      </c>
      <c r="C6">
        <v>150</v>
      </c>
      <c r="E6">
        <f xml:space="preserve"> (1+$E$16)^(-A6)</f>
        <v>0.96153846153846145</v>
      </c>
      <c r="F6">
        <f t="shared" ref="F6:F13" si="0">B6*E6</f>
        <v>96.153846153846146</v>
      </c>
      <c r="G6">
        <f t="shared" ref="G6:G13" si="1">C6*E6</f>
        <v>144.23076923076923</v>
      </c>
      <c r="I6">
        <f t="shared" ref="I6:I13" si="2" xml:space="preserve"> (1+$I$16)^(-A6)</f>
        <v>0.90909090909090906</v>
      </c>
      <c r="J6">
        <f t="shared" ref="J6:J13" si="3">B6*I6</f>
        <v>90.909090909090907</v>
      </c>
      <c r="K6">
        <f t="shared" ref="K6:K13" si="4">C6*I6</f>
        <v>136.36363636363635</v>
      </c>
    </row>
    <row r="7" spans="1:11">
      <c r="A7">
        <v>2</v>
      </c>
      <c r="B7">
        <v>200</v>
      </c>
      <c r="C7">
        <v>250</v>
      </c>
      <c r="E7">
        <f xml:space="preserve"> (1+$E$16)^(-A7)</f>
        <v>0.92455621301775137</v>
      </c>
      <c r="F7">
        <f t="shared" si="0"/>
        <v>184.91124260355028</v>
      </c>
      <c r="G7">
        <f t="shared" si="1"/>
        <v>231.13905325443784</v>
      </c>
      <c r="I7">
        <f t="shared" si="2"/>
        <v>0.82644628099173545</v>
      </c>
      <c r="J7">
        <f t="shared" si="3"/>
        <v>165.28925619834709</v>
      </c>
      <c r="K7">
        <f t="shared" si="4"/>
        <v>206.61157024793386</v>
      </c>
    </row>
    <row r="8" spans="1:11">
      <c r="A8">
        <v>3</v>
      </c>
      <c r="B8">
        <v>200</v>
      </c>
      <c r="C8">
        <v>250</v>
      </c>
      <c r="E8">
        <f xml:space="preserve"> (1+$E$16)^(-A8)</f>
        <v>0.88899635867091487</v>
      </c>
      <c r="F8">
        <f t="shared" si="0"/>
        <v>177.79927173418298</v>
      </c>
      <c r="G8">
        <f t="shared" si="1"/>
        <v>222.24908966772873</v>
      </c>
      <c r="I8">
        <f t="shared" si="2"/>
        <v>0.75131480090157754</v>
      </c>
      <c r="J8">
        <f t="shared" si="3"/>
        <v>150.2629601803155</v>
      </c>
      <c r="K8">
        <f t="shared" si="4"/>
        <v>187.82870022539439</v>
      </c>
    </row>
    <row r="9" spans="1:11">
      <c r="A9">
        <v>4</v>
      </c>
      <c r="B9">
        <v>200</v>
      </c>
      <c r="C9">
        <v>200</v>
      </c>
      <c r="E9">
        <f xml:space="preserve"> (1+$E$16)^(-A9)</f>
        <v>0.85480419102972571</v>
      </c>
      <c r="F9">
        <f t="shared" si="0"/>
        <v>170.96083820594515</v>
      </c>
      <c r="G9">
        <f t="shared" si="1"/>
        <v>170.96083820594515</v>
      </c>
      <c r="I9">
        <f t="shared" si="2"/>
        <v>0.68301345536507052</v>
      </c>
      <c r="J9">
        <f t="shared" si="3"/>
        <v>136.60269107301411</v>
      </c>
      <c r="K9">
        <f t="shared" si="4"/>
        <v>136.60269107301411</v>
      </c>
    </row>
    <row r="10" spans="1:11">
      <c r="A10">
        <v>5</v>
      </c>
      <c r="B10">
        <v>200</v>
      </c>
      <c r="C10">
        <v>100</v>
      </c>
      <c r="E10">
        <f xml:space="preserve"> (1+$E$16)^(-A10)</f>
        <v>0.82192710675935154</v>
      </c>
      <c r="F10">
        <f t="shared" si="0"/>
        <v>164.38542135187032</v>
      </c>
      <c r="G10">
        <f t="shared" si="1"/>
        <v>82.19271067593516</v>
      </c>
      <c r="I10">
        <f t="shared" si="2"/>
        <v>0.62092132305915493</v>
      </c>
      <c r="J10">
        <f t="shared" si="3"/>
        <v>124.18426461183098</v>
      </c>
      <c r="K10">
        <f t="shared" si="4"/>
        <v>62.092132305915491</v>
      </c>
    </row>
    <row r="11" spans="1:11">
      <c r="A11">
        <v>6</v>
      </c>
      <c r="B11">
        <v>200</v>
      </c>
      <c r="C11">
        <v>100</v>
      </c>
      <c r="E11">
        <f xml:space="preserve"> (1+$E$16)^(-A11)</f>
        <v>0.79031452573014571</v>
      </c>
      <c r="F11">
        <f t="shared" si="0"/>
        <v>158.06290514602915</v>
      </c>
      <c r="G11">
        <f t="shared" si="1"/>
        <v>79.031452573014576</v>
      </c>
      <c r="I11">
        <f t="shared" si="2"/>
        <v>0.56447393005377722</v>
      </c>
      <c r="J11">
        <f t="shared" si="3"/>
        <v>112.89478601075544</v>
      </c>
      <c r="K11">
        <f t="shared" si="4"/>
        <v>56.44739300537772</v>
      </c>
    </row>
    <row r="12" spans="1:11">
      <c r="A12">
        <v>7</v>
      </c>
      <c r="B12">
        <v>200</v>
      </c>
      <c r="C12">
        <v>100</v>
      </c>
      <c r="E12">
        <f xml:space="preserve"> (1+$E$16)^(-A12)</f>
        <v>0.75991781320206331</v>
      </c>
      <c r="F12">
        <f t="shared" si="0"/>
        <v>151.98356264041266</v>
      </c>
      <c r="G12">
        <f t="shared" si="1"/>
        <v>75.991781320206329</v>
      </c>
      <c r="I12">
        <f t="shared" si="2"/>
        <v>0.51315811823070645</v>
      </c>
      <c r="J12">
        <f t="shared" si="3"/>
        <v>102.63162364614129</v>
      </c>
      <c r="K12">
        <f t="shared" si="4"/>
        <v>51.315811823070646</v>
      </c>
    </row>
    <row r="13" spans="1:11">
      <c r="A13">
        <v>8</v>
      </c>
      <c r="B13">
        <v>200</v>
      </c>
      <c r="C13">
        <v>100</v>
      </c>
      <c r="E13">
        <f xml:space="preserve"> (1+$E$16)^(-A13)</f>
        <v>0.73069020500198378</v>
      </c>
      <c r="F13">
        <f t="shared" si="0"/>
        <v>146.13804100039675</v>
      </c>
      <c r="G13">
        <f t="shared" si="1"/>
        <v>73.069020500198377</v>
      </c>
      <c r="I13">
        <f t="shared" si="2"/>
        <v>0.46650738020973315</v>
      </c>
      <c r="J13">
        <f t="shared" si="3"/>
        <v>93.301476041946628</v>
      </c>
      <c r="K13">
        <f t="shared" si="4"/>
        <v>46.650738020973314</v>
      </c>
    </row>
    <row r="15" spans="1:11" s="1" customFormat="1">
      <c r="D15" s="1" t="s">
        <v>42</v>
      </c>
      <c r="E15" s="1" t="s">
        <v>43</v>
      </c>
      <c r="H15" s="1" t="s">
        <v>44</v>
      </c>
      <c r="I15" s="1" t="s">
        <v>45</v>
      </c>
    </row>
    <row r="16" spans="1:11">
      <c r="E16">
        <v>0.04</v>
      </c>
      <c r="F16">
        <f>SUM(F5:F13)</f>
        <v>407.39512883623348</v>
      </c>
      <c r="G16">
        <f>SUM(G5:G13)</f>
        <v>388.8647154282354</v>
      </c>
      <c r="I16">
        <v>0.1</v>
      </c>
      <c r="J16">
        <f>SUM(J5:J13)</f>
        <v>133.07614867144196</v>
      </c>
      <c r="K16">
        <f>SUM(K5:K13)</f>
        <v>193.91267306531589</v>
      </c>
    </row>
    <row r="17" spans="1:11">
      <c r="F17" s="41" t="s">
        <v>53</v>
      </c>
      <c r="G17" s="41"/>
      <c r="J17" s="41" t="s">
        <v>54</v>
      </c>
      <c r="K17" s="41"/>
    </row>
    <row r="18" spans="1:11">
      <c r="F18" t="s">
        <v>55</v>
      </c>
      <c r="J18" t="s">
        <v>56</v>
      </c>
    </row>
    <row r="19" spans="1:11">
      <c r="B19" s="1" t="s">
        <v>57</v>
      </c>
      <c r="C19" s="1" t="s">
        <v>58</v>
      </c>
    </row>
    <row r="20" spans="1:11">
      <c r="B20" t="s">
        <v>59</v>
      </c>
      <c r="C20" t="s">
        <v>60</v>
      </c>
    </row>
    <row r="21" spans="1:11">
      <c r="B21" s="40">
        <f>IRR(B5:B13)</f>
        <v>0.13903191920906566</v>
      </c>
      <c r="C21" s="40">
        <f>IRR(C5:C13)</f>
        <v>0.18575459725851329</v>
      </c>
      <c r="D21" s="40"/>
    </row>
    <row r="24" spans="1:11">
      <c r="E24" s="1" t="s">
        <v>61</v>
      </c>
    </row>
    <row r="26" spans="1:11">
      <c r="A26" t="s">
        <v>62</v>
      </c>
      <c r="B26" t="s">
        <v>63</v>
      </c>
      <c r="C26" t="s">
        <v>64</v>
      </c>
    </row>
    <row r="27" spans="1:11">
      <c r="A27">
        <v>0</v>
      </c>
      <c r="B27" cm="1">
        <f t="array" ref="B27">SUMPRODUCT(B$5:B$13, (1+A27)^(-A$5:A$13))</f>
        <v>657</v>
      </c>
      <c r="C27" cm="1">
        <f t="array" ref="C27">SUMPRODUCT(C$5:C$13, (1+A27)^(-A$5:A$13))</f>
        <v>560</v>
      </c>
    </row>
    <row r="28" spans="1:11">
      <c r="A28">
        <v>0.02</v>
      </c>
      <c r="B28" cm="1">
        <f t="array" ref="B28">SUMPRODUCT(B$5:B$13, (1+A28)^(-A$5:A$13))</f>
        <v>524.05707241260995</v>
      </c>
      <c r="C28" cm="1">
        <f t="array" ref="C28">SUMPRODUCT(C$5:C$13, (1+A28)^(-A$5:A$13))</f>
        <v>469.47596186298546</v>
      </c>
    </row>
    <row r="29" spans="1:11">
      <c r="A29">
        <v>0.04</v>
      </c>
      <c r="B29" cm="1">
        <f t="array" ref="B29">SUMPRODUCT(B$5:B$13, (1+A29)^(-A$5:A$13))</f>
        <v>407.39512883623348</v>
      </c>
      <c r="C29" cm="1">
        <f t="array" ref="C29">SUMPRODUCT(C$5:C$13, (1+A29)^(-A$5:A$13))</f>
        <v>388.8647154282354</v>
      </c>
    </row>
    <row r="30" spans="1:11">
      <c r="A30">
        <v>0.06</v>
      </c>
      <c r="B30" cm="1">
        <f t="array" ref="B30">SUMPRODUCT(B$5:B$13, (1+A30)^(-A$5:A$13))</f>
        <v>304.61913955240095</v>
      </c>
      <c r="C30" cm="1">
        <f t="array" ref="C30">SUMPRODUCT(C$5:C$13, (1+A30)^(-A$5:A$13))</f>
        <v>316.8009171984931</v>
      </c>
    </row>
    <row r="31" spans="1:11">
      <c r="A31">
        <v>0.08</v>
      </c>
      <c r="B31" cm="1">
        <f t="array" ref="B31">SUMPRODUCT(B$5:B$13, (1+A31)^(-A$5:A$13))</f>
        <v>213.73519615246732</v>
      </c>
      <c r="C31" cm="1">
        <f t="array" ref="C31">SUMPRODUCT(C$5:C$13, (1+A31)^(-A$5:A$13))</f>
        <v>252.13883514676451</v>
      </c>
    </row>
    <row r="32" spans="1:11">
      <c r="A32">
        <v>0.1</v>
      </c>
      <c r="B32" cm="1">
        <f t="array" ref="B32">SUMPRODUCT(B$5:B$13, (1+A32)^(-A$5:A$13))</f>
        <v>133.07614867144196</v>
      </c>
      <c r="C32" cm="1">
        <f t="array" ref="C32">SUMPRODUCT(C$5:C$13, (1+A32)^(-A$5:A$13))</f>
        <v>193.91267306531589</v>
      </c>
    </row>
    <row r="33" spans="1:5">
      <c r="A33">
        <v>0.12</v>
      </c>
      <c r="B33" cm="1">
        <f t="array" ref="B33">SUMPRODUCT(B$5:B$13, (1+A33)^(-A$5:A$13))</f>
        <v>61.242239082003209</v>
      </c>
      <c r="C33" cm="1">
        <f t="array" ref="C33">SUMPRODUCT(C$5:C$13, (1+A33)^(-A$5:A$13))</f>
        <v>141.30476047186369</v>
      </c>
    </row>
    <row r="34" spans="1:5">
      <c r="A34">
        <v>0.14000000000000001</v>
      </c>
      <c r="B34" cm="1">
        <f t="array" ref="B34">SUMPRODUCT(B$5:B$13, (1+A34)^(-A$5:A$13))</f>
        <v>-2.9465194609869343</v>
      </c>
      <c r="C34" cm="1">
        <f t="array" ref="C34">SUMPRODUCT(C$5:C$13, (1+A34)^(-A$5:A$13))</f>
        <v>93.619922952986684</v>
      </c>
    </row>
    <row r="35" spans="1:5">
      <c r="A35">
        <v>0.16</v>
      </c>
      <c r="B35" cm="1">
        <f t="array" ref="B35">SUMPRODUCT(B$5:B$13, (1+A35)^(-A$5:A$13))</f>
        <v>-60.488717549249031</v>
      </c>
      <c r="C35" cm="1">
        <f t="array" ref="C35">SUMPRODUCT(C$5:C$13, (1+A35)^(-A$5:A$13))</f>
        <v>50.264733792544789</v>
      </c>
    </row>
    <row r="36" spans="1:5">
      <c r="A36">
        <v>0.18</v>
      </c>
      <c r="B36" cm="1">
        <f t="array" ref="B36">SUMPRODUCT(B$5:B$13, (1+A36)^(-A$5:A$13))</f>
        <v>-112.23261130131385</v>
      </c>
      <c r="C36" cm="1">
        <f t="array" ref="C36">SUMPRODUCT(C$5:C$13, (1+A36)^(-A$5:A$13))</f>
        <v>10.730639942529557</v>
      </c>
    </row>
    <row r="37" spans="1:5">
      <c r="A37">
        <v>0.2</v>
      </c>
      <c r="B37" cm="1">
        <f t="array" ref="B37">SUMPRODUCT(B$5:B$13, (1+A37)^(-A$5:A$13))</f>
        <v>-158.90137269471103</v>
      </c>
      <c r="C37" cm="1">
        <f t="array" ref="C37">SUMPRODUCT(C$5:C$13, (1+A37)^(-A$5:A$13))</f>
        <v>-25.419822149824707</v>
      </c>
    </row>
    <row r="38" spans="1:5">
      <c r="A38">
        <v>0.22</v>
      </c>
      <c r="B38" cm="1">
        <f t="array" ref="B38">SUMPRODUCT(B$5:B$13, (1+A38)^(-A$5:A$13))</f>
        <v>-201.11370097628827</v>
      </c>
      <c r="C38" cm="1">
        <f t="array" ref="C38">SUMPRODUCT(C$5:C$13, (1+A38)^(-A$5:A$13))</f>
        <v>-58.564335082254253</v>
      </c>
    </row>
    <row r="39" spans="1:5">
      <c r="A39">
        <v>0.24</v>
      </c>
      <c r="B39" cm="1">
        <f t="array" ref="B39">SUMPRODUCT(B$5:B$13, (1+A39)^(-A$5:A$13))</f>
        <v>-239.40071497631101</v>
      </c>
      <c r="C39" cm="1">
        <f t="array" ref="C39">SUMPRODUCT(C$5:C$13, (1+A39)^(-A$5:A$13))</f>
        <v>-89.030116638191089</v>
      </c>
    </row>
    <row r="40" spans="1:5">
      <c r="A40">
        <v>0.26</v>
      </c>
      <c r="B40" cm="1">
        <f t="array" ref="B40">SUMPRODUCT(B$5:B$13, (1+A40)^(-A$5:A$13))</f>
        <v>-274.21985120324678</v>
      </c>
      <c r="C40" cm="1">
        <f t="array" ref="C40">SUMPRODUCT(C$5:C$13, (1+A40)^(-A$5:A$13))</f>
        <v>-117.10162547950671</v>
      </c>
    </row>
    <row r="41" spans="1:5">
      <c r="A41">
        <v>0.28000000000000003</v>
      </c>
      <c r="B41" cm="1">
        <f t="array" ref="B41">SUMPRODUCT(B$5:B$13, (1+A41)^(-A$5:A$13))</f>
        <v>-305.96634148438898</v>
      </c>
      <c r="C41" cm="1">
        <f t="array" ref="C41">SUMPRODUCT(C$5:C$13, (1+A41)^(-A$5:A$13))</f>
        <v>-143.0269596521066</v>
      </c>
    </row>
    <row r="42" spans="1:5">
      <c r="A42">
        <v>0.3</v>
      </c>
      <c r="B42" cm="1">
        <f t="array" ref="B42">SUMPRODUCT(B$5:B$13, (1+A42)^(-A$5:A$13))</f>
        <v>-334.98272624576072</v>
      </c>
      <c r="C42" cm="1">
        <f t="array" ref="C42">SUMPRODUCT(C$5:C$13, (1+A42)^(-A$5:A$13))</f>
        <v>-167.02318973959558</v>
      </c>
    </row>
    <row r="44" spans="1:5">
      <c r="C44" s="1" t="s">
        <v>65</v>
      </c>
      <c r="E44" t="s">
        <v>66</v>
      </c>
    </row>
    <row r="46" spans="1:5">
      <c r="C46" t="s">
        <v>67</v>
      </c>
    </row>
    <row r="47" spans="1:5">
      <c r="C47" t="s">
        <v>68</v>
      </c>
    </row>
    <row r="49" spans="3:3">
      <c r="C49" t="s">
        <v>69</v>
      </c>
    </row>
  </sheetData>
  <mergeCells count="2">
    <mergeCell ref="F17:G17"/>
    <mergeCell ref="J17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sami almuallim</cp:lastModifiedBy>
  <cp:revision/>
  <dcterms:created xsi:type="dcterms:W3CDTF">2025-10-17T19:50:04Z</dcterms:created>
  <dcterms:modified xsi:type="dcterms:W3CDTF">2025-10-17T22:32:27Z</dcterms:modified>
  <cp:category/>
  <cp:contentStatus/>
</cp:coreProperties>
</file>